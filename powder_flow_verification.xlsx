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kisuiglobal-my.sharepoint.com/personal/s00751472_id_sekisui-g_com/Documents/ドキュメント/powder-flow/"/>
    </mc:Choice>
  </mc:AlternateContent>
  <xr:revisionPtr revIDLastSave="14" documentId="11_866D022DE7DA118C3B8E62D53C9A3AD1892D5A72" xr6:coauthVersionLast="47" xr6:coauthVersionMax="47" xr10:uidLastSave="{89B6F0EB-D1FA-4F0A-8C39-C7BF95B17864}"/>
  <bookViews>
    <workbookView xWindow="28680" yWindow="-120" windowWidth="29040" windowHeight="15720" activeTab="1" xr2:uid="{00000000-000D-0000-FFFF-FFFF00000000}"/>
  </bookViews>
  <sheets>
    <sheet name="流動特性評価能力検証" sheetId="1" r:id="rId1"/>
    <sheet name="秤量能力（キャリブレーション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2" l="1"/>
  <c r="P34" i="2"/>
  <c r="P33" i="2"/>
  <c r="P32" i="2"/>
  <c r="P29" i="2"/>
  <c r="P28" i="2"/>
  <c r="P27" i="2"/>
  <c r="P26" i="2"/>
  <c r="P23" i="2"/>
  <c r="P22" i="2"/>
  <c r="P21" i="2"/>
  <c r="P20" i="2"/>
  <c r="P17" i="2"/>
  <c r="P16" i="2"/>
  <c r="P15" i="2"/>
  <c r="P14" i="2"/>
  <c r="V23" i="1"/>
  <c r="Q23" i="1"/>
  <c r="N23" i="1"/>
  <c r="J23" i="1"/>
  <c r="V22" i="1"/>
  <c r="Q22" i="1"/>
  <c r="N22" i="1"/>
  <c r="J22" i="1"/>
  <c r="V21" i="1"/>
  <c r="Q21" i="1"/>
  <c r="N21" i="1"/>
  <c r="J21" i="1"/>
  <c r="V20" i="1"/>
  <c r="Q20" i="1"/>
  <c r="N20" i="1"/>
  <c r="J20" i="1"/>
  <c r="V18" i="1"/>
  <c r="Q18" i="1"/>
  <c r="N18" i="1"/>
  <c r="J18" i="1"/>
  <c r="V17" i="1"/>
  <c r="Q17" i="1"/>
  <c r="N17" i="1"/>
  <c r="J17" i="1"/>
  <c r="V16" i="1"/>
  <c r="Q16" i="1"/>
  <c r="N16" i="1"/>
  <c r="J16" i="1"/>
  <c r="V15" i="1"/>
  <c r="Q15" i="1"/>
  <c r="N15" i="1"/>
  <c r="J15" i="1"/>
  <c r="V13" i="1"/>
  <c r="Q13" i="1"/>
  <c r="N13" i="1"/>
  <c r="J13" i="1"/>
  <c r="V12" i="1"/>
  <c r="Q12" i="1"/>
  <c r="N12" i="1"/>
  <c r="J12" i="1"/>
  <c r="V11" i="1"/>
  <c r="Q11" i="1"/>
  <c r="N11" i="1"/>
  <c r="J11" i="1"/>
  <c r="V10" i="1"/>
  <c r="Q10" i="1"/>
  <c r="N10" i="1"/>
  <c r="J10" i="1"/>
  <c r="V8" i="1"/>
  <c r="Q8" i="1"/>
  <c r="N8" i="1"/>
  <c r="J8" i="1"/>
  <c r="V7" i="1"/>
  <c r="Q7" i="1"/>
  <c r="N7" i="1"/>
  <c r="J7" i="1"/>
  <c r="V6" i="1"/>
  <c r="Q6" i="1"/>
  <c r="N6" i="1"/>
  <c r="J6" i="1"/>
  <c r="V5" i="1"/>
  <c r="Q5" i="1"/>
  <c r="N5" i="1"/>
  <c r="J5" i="1"/>
</calcChain>
</file>

<file path=xl/sharedStrings.xml><?xml version="1.0" encoding="utf-8"?>
<sst xmlns="http://schemas.openxmlformats.org/spreadsheetml/2006/main" count="186" uniqueCount="80">
  <si>
    <t>流動特性評価システム　精度検証結果</t>
  </si>
  <si>
    <t>※ 黄色セル（データシート値欄）にメーカーの製品データシートから値を入力してください。　偏差は自動計算されます。　AoR偏差は差分（°）、その他は相対偏差（%）で表示。</t>
  </si>
  <si>
    <t>試験条件</t>
  </si>
  <si>
    <t>バルク密度　(g/mL)</t>
  </si>
  <si>
    <t>タップ密度　(g/mL)</t>
  </si>
  <si>
    <t>ハウスナー比</t>
  </si>
  <si>
    <t>安息角　(°)</t>
  </si>
  <si>
    <t>備考</t>
  </si>
  <si>
    <t>材料名</t>
  </si>
  <si>
    <t>ディスク
ID</t>
  </si>
  <si>
    <t>容積
(mL)</t>
  </si>
  <si>
    <t>振動
レベル</t>
  </si>
  <si>
    <t>振動時間
(s)</t>
  </si>
  <si>
    <t>n
(密度回数)</t>
  </si>
  <si>
    <t>システム
測定値</t>
  </si>
  <si>
    <t>Std</t>
  </si>
  <si>
    <t>データシート
値</t>
  </si>
  <si>
    <t>偏差
(%)</t>
  </si>
  <si>
    <t>分類
(システム)</t>
  </si>
  <si>
    <t>偏差
(°)</t>
  </si>
  <si>
    <t>Ludiflash</t>
  </si>
  <si>
    <t>D06</t>
  </si>
  <si>
    <t>Good</t>
  </si>
  <si>
    <t>D03</t>
  </si>
  <si>
    <t>D08</t>
  </si>
  <si>
    <t>Passable</t>
  </si>
  <si>
    <t>—</t>
  </si>
  <si>
    <t>安息角 8.4°は異常に低い値（測定誤差の可能性あり）</t>
  </si>
  <si>
    <t>D10</t>
  </si>
  <si>
    <t>Fair</t>
  </si>
  <si>
    <t>Excellent</t>
  </si>
  <si>
    <t>NEUSILIN US2</t>
  </si>
  <si>
    <t>タップ密度測定不可（D03では秤量質量不足）</t>
  </si>
  <si>
    <t>Kollidon VA64</t>
  </si>
  <si>
    <t>Lactopress</t>
  </si>
  <si>
    <t>Poor</t>
  </si>
  <si>
    <t>バルク密度測定失敗（容量超過）→ HR算出不可</t>
  </si>
  <si>
    <t>バルク密度測定失敗（不安定）→ HR算出不可</t>
  </si>
  <si>
    <t>バルク密度不安定（測定失敗）。HR=1.067は参考値のみ</t>
  </si>
  <si>
    <t>【凡例】　赤背景セル = 測定失敗・測定不可　／　黄色セル = データシート入力欄（手入力）　／　偏差(%) = (システム測定値 - データシート値) / データシート値 × 100</t>
  </si>
  <si>
    <t>秤量能力検証　キャリブレーション結果</t>
  </si>
  <si>
    <t>※ 平均・Std は材料データベースの登録値（システムが計算）。　赤背景の第1回数値はプライミングとして平均・Std計算から除外されています。　%RSD = Std / 平均 × 100。</t>
  </si>
  <si>
    <t>【秤量質量レンジ一覧】　1ステップあたりの平均秤量質量 (g)</t>
  </si>
  <si>
    <t>最適振動Lv / 時間(s)</t>
  </si>
  <si>
    <t>D03
0.075 mL</t>
  </si>
  <si>
    <t>D06
0.6 mL</t>
  </si>
  <si>
    <t>D08
1.5 mL</t>
  </si>
  <si>
    <t>D10
5.5 mL</t>
  </si>
  <si>
    <t>秤量レンジ
(最小→最大)</t>
  </si>
  <si>
    <t>D03:Lv1 / D06:Lv2 / D08,D10:Lv1</t>
  </si>
  <si>
    <t>0.0434 g  →  3.2635 g</t>
  </si>
  <si>
    <t>D03,D06,D08,D10:Lv1</t>
  </si>
  <si>
    <t>0.0111 g  →  0.8080 g</t>
  </si>
  <si>
    <t>D03,D06:Lv1 / D08,D10:Lv2</t>
  </si>
  <si>
    <t>0.0303 g  →  2.1409 g</t>
  </si>
  <si>
    <t>D03,D06,D08,D10:Lv3</t>
  </si>
  <si>
    <t>0.0581 g  →  1.6778 g</t>
  </si>
  <si>
    <t>【詳細キャリブレーション結果】　1ステップ秤量の繰り返し再現性</t>
  </si>
  <si>
    <t>測定条件</t>
  </si>
  <si>
    <t>1ステップあたりの秤量質量 (g)　― 繰り返し測定結果 ―</t>
  </si>
  <si>
    <t>平均
(g)</t>
  </si>
  <si>
    <t>Std
(g)</t>
  </si>
  <si>
    <t>%RSD
(%)</t>
  </si>
  <si>
    <t>ディスクID</t>
  </si>
  <si>
    <t>容積(mL)</t>
  </si>
  <si>
    <t>計測
ステップ数</t>
  </si>
  <si>
    <t>第1回</t>
  </si>
  <si>
    <t>第2回</t>
  </si>
  <si>
    <t>第3回</t>
  </si>
  <si>
    <t>第4回</t>
  </si>
  <si>
    <t>第5回</t>
  </si>
  <si>
    <t>第6回</t>
  </si>
  <si>
    <t>第7回</t>
  </si>
  <si>
    <t>▼ D03　（ディスク容積: 0.075 mL）　― 4 材料 ―</t>
  </si>
  <si>
    <t>▼ D06　（ディスク容積: 0.6 mL）　― 4 材料 ―</t>
  </si>
  <si>
    <t>▼ D08　（ディスク容積: 1.5 mL）　― 4 材料 ―</t>
  </si>
  <si>
    <t>第1回除外（プライミング）</t>
  </si>
  <si>
    <t>▼ D10　（ディスク容積: 5.5 mL）　― 4 材料 ―</t>
  </si>
  <si>
    <t>第1回除外（プライミング）。高ばらつき（%RSD≈58%）：秤量不安定</t>
  </si>
  <si>
    <t>【凡例】　赤背景（薄）の第1回 = プライミングとして計算除外　／　赤背景 %RSD = ばらつき大（&gt;20%）　／　平均・Std はシステムの材料データベース登録値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</si>
</sst>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333333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i/>
      <sz val="8"/>
      <color rgb="FF555555"/>
      <name val="Arial"/>
    </font>
    <font>
      <b/>
      <sz val="11"/>
      <color rgb="FFFFFFFF"/>
      <name val="Arial"/>
    </font>
    <font>
      <b/>
      <sz val="9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BF1DE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FD7D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1F497D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164" fontId="5" fillId="11" borderId="1" xfId="0" applyNumberFormat="1" applyFont="1" applyFill="1" applyBorder="1" applyAlignment="1">
      <alignment horizontal="center" vertical="center" wrapText="1"/>
    </xf>
    <xf numFmtId="165" fontId="5" fillId="11" borderId="1" xfId="0" applyNumberFormat="1" applyFont="1" applyFill="1" applyBorder="1" applyAlignment="1">
      <alignment horizontal="center" vertical="center" wrapText="1"/>
    </xf>
    <xf numFmtId="166" fontId="5" fillId="11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2" fontId="5" fillId="11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164" fontId="5" fillId="12" borderId="1" xfId="0" applyNumberFormat="1" applyFont="1" applyFill="1" applyBorder="1" applyAlignment="1">
      <alignment horizontal="center" vertical="center" wrapText="1"/>
    </xf>
    <xf numFmtId="165" fontId="5" fillId="12" borderId="1" xfId="0" applyNumberFormat="1" applyFont="1" applyFill="1" applyBorder="1" applyAlignment="1">
      <alignment horizontal="center" vertical="center" wrapText="1"/>
    </xf>
    <xf numFmtId="166" fontId="5" fillId="12" borderId="1" xfId="0" applyNumberFormat="1" applyFont="1" applyFill="1" applyBorder="1" applyAlignment="1">
      <alignment horizontal="center" vertical="center" wrapText="1"/>
    </xf>
    <xf numFmtId="2" fontId="5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166" fontId="5" fillId="13" borderId="1" xfId="0" applyNumberFormat="1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164" fontId="5" fillId="14" borderId="1" xfId="0" applyNumberFormat="1" applyFont="1" applyFill="1" applyBorder="1" applyAlignment="1">
      <alignment horizontal="center" vertical="center" wrapText="1"/>
    </xf>
    <xf numFmtId="165" fontId="5" fillId="14" borderId="1" xfId="0" applyNumberFormat="1" applyFont="1" applyFill="1" applyBorder="1" applyAlignment="1">
      <alignment horizontal="center" vertical="center" wrapText="1"/>
    </xf>
    <xf numFmtId="166" fontId="5" fillId="14" borderId="1" xfId="0" applyNumberFormat="1" applyFont="1" applyFill="1" applyBorder="1" applyAlignment="1">
      <alignment horizontal="center" vertical="center" wrapText="1"/>
    </xf>
    <xf numFmtId="2" fontId="5" fillId="14" borderId="1" xfId="0" applyNumberFormat="1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164" fontId="5" fillId="15" borderId="1" xfId="0" applyNumberFormat="1" applyFont="1" applyFill="1" applyBorder="1" applyAlignment="1">
      <alignment horizontal="center" vertical="center" wrapText="1"/>
    </xf>
    <xf numFmtId="165" fontId="5" fillId="15" borderId="1" xfId="0" applyNumberFormat="1" applyFont="1" applyFill="1" applyBorder="1" applyAlignment="1">
      <alignment horizontal="center" vertical="center" wrapText="1"/>
    </xf>
    <xf numFmtId="2" fontId="5" fillId="15" borderId="1" xfId="0" applyNumberFormat="1" applyFont="1" applyFill="1" applyBorder="1" applyAlignment="1">
      <alignment horizontal="center" vertical="center" wrapText="1"/>
    </xf>
    <xf numFmtId="166" fontId="5" fillId="15" borderId="1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7" fontId="5" fillId="11" borderId="1" xfId="0" applyNumberFormat="1" applyFont="1" applyFill="1" applyBorder="1" applyAlignment="1">
      <alignment horizontal="center" vertical="center" wrapText="1"/>
    </xf>
    <xf numFmtId="167" fontId="5" fillId="12" borderId="1" xfId="0" applyNumberFormat="1" applyFont="1" applyFill="1" applyBorder="1" applyAlignment="1">
      <alignment horizontal="center" vertical="center" wrapText="1"/>
    </xf>
    <xf numFmtId="167" fontId="5" fillId="14" borderId="1" xfId="0" applyNumberFormat="1" applyFont="1" applyFill="1" applyBorder="1" applyAlignment="1">
      <alignment horizontal="center" vertical="center" wrapText="1"/>
    </xf>
    <xf numFmtId="167" fontId="5" fillId="15" borderId="1" xfId="0" applyNumberFormat="1" applyFont="1" applyFill="1" applyBorder="1" applyAlignment="1">
      <alignment horizontal="center" vertical="center" wrapText="1"/>
    </xf>
    <xf numFmtId="167" fontId="4" fillId="11" borderId="1" xfId="0" applyNumberFormat="1" applyFont="1" applyFill="1" applyBorder="1" applyAlignment="1">
      <alignment horizontal="center" vertical="center" wrapText="1"/>
    </xf>
    <xf numFmtId="167" fontId="4" fillId="12" borderId="1" xfId="0" applyNumberFormat="1" applyFont="1" applyFill="1" applyBorder="1" applyAlignment="1">
      <alignment horizontal="center" vertical="center" wrapText="1"/>
    </xf>
    <xf numFmtId="2" fontId="5" fillId="13" borderId="1" xfId="0" applyNumberFormat="1" applyFont="1" applyFill="1" applyBorder="1" applyAlignment="1">
      <alignment horizontal="center" vertical="center" wrapText="1"/>
    </xf>
    <xf numFmtId="167" fontId="4" fillId="14" borderId="1" xfId="0" applyNumberFormat="1" applyFont="1" applyFill="1" applyBorder="1" applyAlignment="1">
      <alignment horizontal="center" vertical="center" wrapText="1"/>
    </xf>
    <xf numFmtId="167" fontId="4" fillId="15" borderId="1" xfId="0" applyNumberFormat="1" applyFont="1" applyFill="1" applyBorder="1" applyAlignment="1">
      <alignment horizontal="center" vertical="center" wrapText="1"/>
    </xf>
    <xf numFmtId="164" fontId="5" fillId="19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16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 wrapText="1"/>
    </xf>
    <xf numFmtId="0" fontId="2" fillId="17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workbookViewId="0">
      <pane ySplit="4" topLeftCell="A5" activePane="bottomLeft" state="frozen"/>
      <selection pane="bottomLeft" sqref="A1:W1"/>
    </sheetView>
  </sheetViews>
  <sheetFormatPr defaultRowHeight="14.4" x14ac:dyDescent="0.3"/>
  <cols>
    <col min="1" max="1" width="14" customWidth="1"/>
    <col min="2" max="2" width="8" customWidth="1"/>
    <col min="3" max="4" width="7" customWidth="1"/>
    <col min="5" max="5" width="8" customWidth="1"/>
    <col min="6" max="6" width="7" customWidth="1"/>
    <col min="7" max="7" width="11" customWidth="1"/>
    <col min="8" max="8" width="9" customWidth="1"/>
    <col min="9" max="9" width="11" customWidth="1"/>
    <col min="10" max="10" width="9" customWidth="1"/>
    <col min="11" max="11" width="11" customWidth="1"/>
    <col min="12" max="12" width="9" customWidth="1"/>
    <col min="13" max="13" width="11" customWidth="1"/>
    <col min="14" max="14" width="9" customWidth="1"/>
    <col min="15" max="15" width="10" customWidth="1"/>
    <col min="16" max="16" width="11" customWidth="1"/>
    <col min="17" max="17" width="9" customWidth="1"/>
    <col min="18" max="18" width="11" customWidth="1"/>
    <col min="19" max="19" width="10" customWidth="1"/>
    <col min="20" max="21" width="11" customWidth="1"/>
    <col min="22" max="22" width="9" customWidth="1"/>
    <col min="23" max="23" width="38" customWidth="1"/>
  </cols>
  <sheetData>
    <row r="1" spans="1:23" ht="31.95" customHeight="1" x14ac:dyDescent="0.3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</row>
    <row r="2" spans="1:23" ht="18" customHeight="1" x14ac:dyDescent="0.3">
      <c r="A2" s="54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3" ht="25.95" customHeight="1" x14ac:dyDescent="0.3">
      <c r="A3" s="53" t="s">
        <v>2</v>
      </c>
      <c r="B3" s="48"/>
      <c r="C3" s="48"/>
      <c r="D3" s="48"/>
      <c r="E3" s="48"/>
      <c r="F3" s="48"/>
      <c r="G3" s="50" t="s">
        <v>3</v>
      </c>
      <c r="H3" s="48"/>
      <c r="I3" s="48"/>
      <c r="J3" s="48"/>
      <c r="K3" s="50" t="s">
        <v>4</v>
      </c>
      <c r="L3" s="48"/>
      <c r="M3" s="48"/>
      <c r="N3" s="48"/>
      <c r="O3" s="49" t="s">
        <v>5</v>
      </c>
      <c r="P3" s="48"/>
      <c r="Q3" s="48"/>
      <c r="R3" s="48"/>
      <c r="S3" s="49" t="s">
        <v>6</v>
      </c>
      <c r="T3" s="48"/>
      <c r="U3" s="48"/>
      <c r="V3" s="48"/>
      <c r="W3" s="51" t="s">
        <v>7</v>
      </c>
    </row>
    <row r="4" spans="1:23" ht="40.049999999999997" customHeight="1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2" t="s">
        <v>16</v>
      </c>
      <c r="J4" s="1" t="s">
        <v>17</v>
      </c>
      <c r="K4" s="1" t="s">
        <v>14</v>
      </c>
      <c r="L4" s="1" t="s">
        <v>15</v>
      </c>
      <c r="M4" s="2" t="s">
        <v>16</v>
      </c>
      <c r="N4" s="1" t="s">
        <v>17</v>
      </c>
      <c r="O4" s="3" t="s">
        <v>14</v>
      </c>
      <c r="P4" s="2" t="s">
        <v>16</v>
      </c>
      <c r="Q4" s="3" t="s">
        <v>17</v>
      </c>
      <c r="R4" s="3" t="s">
        <v>18</v>
      </c>
      <c r="S4" s="3" t="s">
        <v>14</v>
      </c>
      <c r="T4" s="3" t="s">
        <v>18</v>
      </c>
      <c r="U4" s="2" t="s">
        <v>16</v>
      </c>
      <c r="V4" s="3" t="s">
        <v>19</v>
      </c>
      <c r="W4" s="48"/>
    </row>
    <row r="5" spans="1:23" ht="16.05" customHeight="1" x14ac:dyDescent="0.3">
      <c r="A5" s="4" t="s">
        <v>20</v>
      </c>
      <c r="B5" s="5" t="s">
        <v>21</v>
      </c>
      <c r="C5" s="6">
        <v>0.6</v>
      </c>
      <c r="D5" s="5">
        <v>2</v>
      </c>
      <c r="E5" s="7">
        <v>1</v>
      </c>
      <c r="F5" s="5">
        <v>7</v>
      </c>
      <c r="G5" s="8">
        <v>0.66610000000000003</v>
      </c>
      <c r="H5" s="8">
        <v>2.8E-3</v>
      </c>
      <c r="I5" s="9"/>
      <c r="J5" s="10" t="str">
        <f>IF(I5="","",IF(G5="","N/A",IFERROR(ROUND((G5-I5)/I5*100,2),"")))</f>
        <v/>
      </c>
      <c r="K5" s="8">
        <v>0.76170000000000004</v>
      </c>
      <c r="L5" s="8">
        <v>3.5999999999999999E-3</v>
      </c>
      <c r="M5" s="9"/>
      <c r="N5" s="10" t="str">
        <f>IF(M5="","",IF(K5="","N/A",IFERROR(ROUND((K5-M5)/M5*100,2),"")))</f>
        <v/>
      </c>
      <c r="O5" s="6">
        <v>1.143</v>
      </c>
      <c r="P5" s="9"/>
      <c r="Q5" s="10" t="str">
        <f>IF(P5="","",IF(O5="","N/A",IFERROR(ROUND((O5-P5)/P5*100,2),"")))</f>
        <v/>
      </c>
      <c r="R5" s="5" t="s">
        <v>22</v>
      </c>
      <c r="S5" s="10">
        <v>32.869999999999997</v>
      </c>
      <c r="T5" s="5" t="s">
        <v>22</v>
      </c>
      <c r="U5" s="9"/>
      <c r="V5" s="10" t="str">
        <f>IF(U5="","",IF(S5="","N/A",IFERROR(ROUND(S5-U5,2),"")))</f>
        <v/>
      </c>
      <c r="W5" s="11"/>
    </row>
    <row r="6" spans="1:23" ht="16.05" customHeight="1" x14ac:dyDescent="0.3">
      <c r="A6" s="4" t="s">
        <v>20</v>
      </c>
      <c r="B6" s="5" t="s">
        <v>23</v>
      </c>
      <c r="C6" s="6">
        <v>7.4999999999999997E-2</v>
      </c>
      <c r="D6" s="5">
        <v>1</v>
      </c>
      <c r="E6" s="7">
        <v>1</v>
      </c>
      <c r="F6" s="5">
        <v>7</v>
      </c>
      <c r="G6" s="8">
        <v>0.68</v>
      </c>
      <c r="H6" s="8">
        <v>2.18E-2</v>
      </c>
      <c r="I6" s="9"/>
      <c r="J6" s="10" t="str">
        <f>IF(I6="","",IF(G6="","N/A",IFERROR(ROUND((G6-I6)/I6*100,2),"")))</f>
        <v/>
      </c>
      <c r="K6" s="8">
        <v>0.77300000000000002</v>
      </c>
      <c r="L6" s="8">
        <v>2.18E-2</v>
      </c>
      <c r="M6" s="9"/>
      <c r="N6" s="10" t="str">
        <f>IF(M6="","",IF(K6="","N/A",IFERROR(ROUND((K6-M6)/M6*100,2),"")))</f>
        <v/>
      </c>
      <c r="O6" s="6">
        <v>1.137</v>
      </c>
      <c r="P6" s="9"/>
      <c r="Q6" s="10" t="str">
        <f>IF(P6="","",IF(O6="","N/A",IFERROR(ROUND((O6-P6)/P6*100,2),"")))</f>
        <v/>
      </c>
      <c r="R6" s="5" t="s">
        <v>22</v>
      </c>
      <c r="S6" s="10">
        <v>34.44</v>
      </c>
      <c r="T6" s="5" t="s">
        <v>22</v>
      </c>
      <c r="U6" s="9"/>
      <c r="V6" s="10" t="str">
        <f>IF(U6="","",IF(S6="","N/A",IFERROR(ROUND(S6-U6,2),"")))</f>
        <v/>
      </c>
      <c r="W6" s="11"/>
    </row>
    <row r="7" spans="1:23" ht="16.05" customHeight="1" x14ac:dyDescent="0.3">
      <c r="A7" s="4" t="s">
        <v>20</v>
      </c>
      <c r="B7" s="5" t="s">
        <v>24</v>
      </c>
      <c r="C7" s="6">
        <v>1.5</v>
      </c>
      <c r="D7" s="5">
        <v>1</v>
      </c>
      <c r="E7" s="7">
        <v>1</v>
      </c>
      <c r="F7" s="5">
        <v>7</v>
      </c>
      <c r="G7" s="8">
        <v>0.754</v>
      </c>
      <c r="H7" s="8">
        <v>2.2499999999999999E-2</v>
      </c>
      <c r="I7" s="9"/>
      <c r="J7" s="10" t="str">
        <f>IF(I7="","",IF(G7="","N/A",IFERROR(ROUND((G7-I7)/I7*100,2),"")))</f>
        <v/>
      </c>
      <c r="K7" s="8">
        <v>0.96799999999999997</v>
      </c>
      <c r="L7" s="8">
        <v>5.9999999999999995E-4</v>
      </c>
      <c r="M7" s="9"/>
      <c r="N7" s="10" t="str">
        <f>IF(M7="","",IF(K7="","N/A",IFERROR(ROUND((K7-M7)/M7*100,2),"")))</f>
        <v/>
      </c>
      <c r="O7" s="6">
        <v>1.284</v>
      </c>
      <c r="P7" s="9"/>
      <c r="Q7" s="10" t="str">
        <f>IF(P7="","",IF(O7="","N/A",IFERROR(ROUND((O7-P7)/P7*100,2),"")))</f>
        <v/>
      </c>
      <c r="R7" s="5" t="s">
        <v>25</v>
      </c>
      <c r="S7" s="10">
        <v>8.41</v>
      </c>
      <c r="T7" s="5" t="s">
        <v>26</v>
      </c>
      <c r="U7" s="9"/>
      <c r="V7" s="10" t="str">
        <f>IF(U7="","",IF(S7="","N/A",IFERROR(ROUND(S7-U7,2),"")))</f>
        <v/>
      </c>
      <c r="W7" s="11" t="s">
        <v>27</v>
      </c>
    </row>
    <row r="8" spans="1:23" ht="16.05" customHeight="1" x14ac:dyDescent="0.3">
      <c r="A8" s="4" t="s">
        <v>20</v>
      </c>
      <c r="B8" s="5" t="s">
        <v>28</v>
      </c>
      <c r="C8" s="6">
        <v>5.5</v>
      </c>
      <c r="D8" s="5">
        <v>1</v>
      </c>
      <c r="E8" s="7">
        <v>1</v>
      </c>
      <c r="F8" s="5">
        <v>7</v>
      </c>
      <c r="G8" s="8">
        <v>0.6</v>
      </c>
      <c r="H8" s="8">
        <v>1.9900000000000001E-2</v>
      </c>
      <c r="I8" s="9"/>
      <c r="J8" s="10" t="str">
        <f>IF(I8="","",IF(G8="","N/A",IFERROR(ROUND((G8-I8)/I8*100,2),"")))</f>
        <v/>
      </c>
      <c r="K8" s="8">
        <v>0.72199999999999998</v>
      </c>
      <c r="L8" s="8">
        <v>3.5999999999999999E-3</v>
      </c>
      <c r="M8" s="9"/>
      <c r="N8" s="10" t="str">
        <f>IF(M8="","",IF(K8="","N/A",IFERROR(ROUND((K8-M8)/M8*100,2),"")))</f>
        <v/>
      </c>
      <c r="O8" s="6">
        <v>1.2030000000000001</v>
      </c>
      <c r="P8" s="9"/>
      <c r="Q8" s="10" t="str">
        <f>IF(P8="","",IF(O8="","N/A",IFERROR(ROUND((O8-P8)/P8*100,2),"")))</f>
        <v/>
      </c>
      <c r="R8" s="5" t="s">
        <v>29</v>
      </c>
      <c r="S8" s="10">
        <v>28.71</v>
      </c>
      <c r="T8" s="5" t="s">
        <v>30</v>
      </c>
      <c r="U8" s="9"/>
      <c r="V8" s="10" t="str">
        <f>IF(U8="","",IF(S8="","N/A",IFERROR(ROUND(S8-U8,2),"")))</f>
        <v/>
      </c>
      <c r="W8" s="11"/>
    </row>
    <row r="9" spans="1:23" ht="6" customHeight="1" x14ac:dyDescent="0.3"/>
    <row r="10" spans="1:23" ht="16.05" customHeight="1" x14ac:dyDescent="0.3">
      <c r="A10" s="12" t="s">
        <v>31</v>
      </c>
      <c r="B10" s="13" t="s">
        <v>21</v>
      </c>
      <c r="C10" s="14">
        <v>0.6</v>
      </c>
      <c r="D10" s="13">
        <v>1</v>
      </c>
      <c r="E10" s="15">
        <v>1</v>
      </c>
      <c r="F10" s="13">
        <v>7</v>
      </c>
      <c r="G10" s="16">
        <v>0.17610000000000001</v>
      </c>
      <c r="H10" s="16">
        <v>8.0000000000000004E-4</v>
      </c>
      <c r="I10" s="9"/>
      <c r="J10" s="17" t="str">
        <f>IF(I10="","",IF(G10="","N/A",IFERROR(ROUND((G10-I10)/I10*100,2),"")))</f>
        <v/>
      </c>
      <c r="K10" s="16">
        <v>0.19670000000000001</v>
      </c>
      <c r="L10" s="16">
        <v>0</v>
      </c>
      <c r="M10" s="9"/>
      <c r="N10" s="17" t="str">
        <f>IF(M10="","",IF(K10="","N/A",IFERROR(ROUND((K10-M10)/M10*100,2),"")))</f>
        <v/>
      </c>
      <c r="O10" s="14">
        <v>1.117</v>
      </c>
      <c r="P10" s="9"/>
      <c r="Q10" s="17" t="str">
        <f>IF(P10="","",IF(O10="","N/A",IFERROR(ROUND((O10-P10)/P10*100,2),"")))</f>
        <v/>
      </c>
      <c r="R10" s="13" t="s">
        <v>22</v>
      </c>
      <c r="S10" s="17">
        <v>23.37</v>
      </c>
      <c r="T10" s="13" t="s">
        <v>30</v>
      </c>
      <c r="U10" s="9"/>
      <c r="V10" s="17" t="str">
        <f>IF(U10="","",IF(S10="","N/A",IFERROR(ROUND(S10-U10,2),"")))</f>
        <v/>
      </c>
      <c r="W10" s="18"/>
    </row>
    <row r="11" spans="1:23" ht="16.05" customHeight="1" x14ac:dyDescent="0.3">
      <c r="A11" s="12" t="s">
        <v>31</v>
      </c>
      <c r="B11" s="13" t="s">
        <v>23</v>
      </c>
      <c r="C11" s="14">
        <v>7.4999999999999997E-2</v>
      </c>
      <c r="D11" s="13">
        <v>1</v>
      </c>
      <c r="E11" s="15">
        <v>1</v>
      </c>
      <c r="F11" s="13">
        <v>7</v>
      </c>
      <c r="G11" s="16">
        <v>0.14219999999999999</v>
      </c>
      <c r="H11" s="16">
        <v>6.3E-3</v>
      </c>
      <c r="I11" s="9"/>
      <c r="J11" s="17" t="str">
        <f>IF(I11="","",IF(G11="","N/A",IFERROR(ROUND((G11-I11)/I11*100,2),"")))</f>
        <v/>
      </c>
      <c r="K11" s="19"/>
      <c r="L11" s="19"/>
      <c r="M11" s="9"/>
      <c r="N11" s="17" t="str">
        <f>IF(M11="","",IF(K11="","N/A",IFERROR(ROUND((K11-M11)/M11*100,2),"")))</f>
        <v/>
      </c>
      <c r="O11" s="20"/>
      <c r="P11" s="9"/>
      <c r="Q11" s="17" t="str">
        <f>IF(P11="","",IF(O11="","N/A",IFERROR(ROUND((O11-P11)/P11*100,2),"")))</f>
        <v/>
      </c>
      <c r="R11" s="13" t="s">
        <v>26</v>
      </c>
      <c r="S11" s="17">
        <v>25.76</v>
      </c>
      <c r="T11" s="13" t="s">
        <v>30</v>
      </c>
      <c r="U11" s="9"/>
      <c r="V11" s="17" t="str">
        <f>IF(U11="","",IF(S11="","N/A",IFERROR(ROUND(S11-U11,2),"")))</f>
        <v/>
      </c>
      <c r="W11" s="18" t="s">
        <v>32</v>
      </c>
    </row>
    <row r="12" spans="1:23" ht="16.05" customHeight="1" x14ac:dyDescent="0.3">
      <c r="A12" s="12" t="s">
        <v>31</v>
      </c>
      <c r="B12" s="13" t="s">
        <v>24</v>
      </c>
      <c r="C12" s="14">
        <v>1.5</v>
      </c>
      <c r="D12" s="13">
        <v>1</v>
      </c>
      <c r="E12" s="15">
        <v>1</v>
      </c>
      <c r="F12" s="13">
        <v>7</v>
      </c>
      <c r="G12" s="16">
        <v>0.19819999999999999</v>
      </c>
      <c r="H12" s="16">
        <v>1.34E-2</v>
      </c>
      <c r="I12" s="9"/>
      <c r="J12" s="17" t="str">
        <f>IF(I12="","",IF(G12="","N/A",IFERROR(ROUND((G12-I12)/I12*100,2),"")))</f>
        <v/>
      </c>
      <c r="K12" s="16">
        <v>0.22800000000000001</v>
      </c>
      <c r="L12" s="16">
        <v>2.3999999999999998E-3</v>
      </c>
      <c r="M12" s="9"/>
      <c r="N12" s="17" t="str">
        <f>IF(M12="","",IF(K12="","N/A",IFERROR(ROUND((K12-M12)/M12*100,2),"")))</f>
        <v/>
      </c>
      <c r="O12" s="14">
        <v>1.1499999999999999</v>
      </c>
      <c r="P12" s="9"/>
      <c r="Q12" s="17" t="str">
        <f>IF(P12="","",IF(O12="","N/A",IFERROR(ROUND((O12-P12)/P12*100,2),"")))</f>
        <v/>
      </c>
      <c r="R12" s="13" t="s">
        <v>22</v>
      </c>
      <c r="S12" s="17">
        <v>23.97</v>
      </c>
      <c r="T12" s="13" t="s">
        <v>30</v>
      </c>
      <c r="U12" s="9"/>
      <c r="V12" s="17" t="str">
        <f>IF(U12="","",IF(S12="","N/A",IFERROR(ROUND(S12-U12,2),"")))</f>
        <v/>
      </c>
      <c r="W12" s="18"/>
    </row>
    <row r="13" spans="1:23" ht="16.05" customHeight="1" x14ac:dyDescent="0.3">
      <c r="A13" s="12" t="s">
        <v>31</v>
      </c>
      <c r="B13" s="13" t="s">
        <v>28</v>
      </c>
      <c r="C13" s="14">
        <v>5.5</v>
      </c>
      <c r="D13" s="13">
        <v>1</v>
      </c>
      <c r="E13" s="15">
        <v>1</v>
      </c>
      <c r="F13" s="13">
        <v>7</v>
      </c>
      <c r="G13" s="16">
        <v>0.1605</v>
      </c>
      <c r="H13" s="16">
        <v>2.5999999999999999E-3</v>
      </c>
      <c r="I13" s="9"/>
      <c r="J13" s="17" t="str">
        <f>IF(I13="","",IF(G13="","N/A",IFERROR(ROUND((G13-I13)/I13*100,2),"")))</f>
        <v/>
      </c>
      <c r="K13" s="16">
        <v>0.18190000000000001</v>
      </c>
      <c r="L13" s="16">
        <v>1E-4</v>
      </c>
      <c r="M13" s="9"/>
      <c r="N13" s="17" t="str">
        <f>IF(M13="","",IF(K13="","N/A",IFERROR(ROUND((K13-M13)/M13*100,2),"")))</f>
        <v/>
      </c>
      <c r="O13" s="14">
        <v>1.133</v>
      </c>
      <c r="P13" s="9"/>
      <c r="Q13" s="17" t="str">
        <f>IF(P13="","",IF(O13="","N/A",IFERROR(ROUND((O13-P13)/P13*100,2),"")))</f>
        <v/>
      </c>
      <c r="R13" s="13" t="s">
        <v>22</v>
      </c>
      <c r="S13" s="17">
        <v>18.95</v>
      </c>
      <c r="T13" s="13" t="s">
        <v>30</v>
      </c>
      <c r="U13" s="9"/>
      <c r="V13" s="17" t="str">
        <f>IF(U13="","",IF(S13="","N/A",IFERROR(ROUND(S13-U13,2),"")))</f>
        <v/>
      </c>
      <c r="W13" s="18"/>
    </row>
    <row r="14" spans="1:23" ht="6" customHeight="1" x14ac:dyDescent="0.3"/>
    <row r="15" spans="1:23" ht="16.05" customHeight="1" x14ac:dyDescent="0.3">
      <c r="A15" s="21" t="s">
        <v>33</v>
      </c>
      <c r="B15" s="22" t="s">
        <v>21</v>
      </c>
      <c r="C15" s="23">
        <v>0.6</v>
      </c>
      <c r="D15" s="22">
        <v>1</v>
      </c>
      <c r="E15" s="24">
        <v>1</v>
      </c>
      <c r="F15" s="22">
        <v>7</v>
      </c>
      <c r="G15" s="25">
        <v>0.43059999999999998</v>
      </c>
      <c r="H15" s="25">
        <v>2.8E-3</v>
      </c>
      <c r="I15" s="9"/>
      <c r="J15" s="26" t="str">
        <f>IF(I15="","",IF(G15="","N/A",IFERROR(ROUND((G15-I15)/I15*100,2),"")))</f>
        <v/>
      </c>
      <c r="K15" s="25">
        <v>0.48670000000000002</v>
      </c>
      <c r="L15" s="25">
        <v>0</v>
      </c>
      <c r="M15" s="9"/>
      <c r="N15" s="26" t="str">
        <f>IF(M15="","",IF(K15="","N/A",IFERROR(ROUND((K15-M15)/M15*100,2),"")))</f>
        <v/>
      </c>
      <c r="O15" s="23">
        <v>1.1299999999999999</v>
      </c>
      <c r="P15" s="9"/>
      <c r="Q15" s="26" t="str">
        <f>IF(P15="","",IF(O15="","N/A",IFERROR(ROUND((O15-P15)/P15*100,2),"")))</f>
        <v/>
      </c>
      <c r="R15" s="22" t="s">
        <v>22</v>
      </c>
      <c r="S15" s="26">
        <v>30.67</v>
      </c>
      <c r="T15" s="22" t="s">
        <v>22</v>
      </c>
      <c r="U15" s="9"/>
      <c r="V15" s="26" t="str">
        <f>IF(U15="","",IF(S15="","N/A",IFERROR(ROUND(S15-U15,2),"")))</f>
        <v/>
      </c>
      <c r="W15" s="27"/>
    </row>
    <row r="16" spans="1:23" ht="16.05" customHeight="1" x14ac:dyDescent="0.3">
      <c r="A16" s="21" t="s">
        <v>33</v>
      </c>
      <c r="B16" s="22" t="s">
        <v>23</v>
      </c>
      <c r="C16" s="23">
        <v>7.4999999999999997E-2</v>
      </c>
      <c r="D16" s="22">
        <v>1</v>
      </c>
      <c r="E16" s="24">
        <v>1</v>
      </c>
      <c r="F16" s="22">
        <v>7</v>
      </c>
      <c r="G16" s="25">
        <v>0.44890000000000002</v>
      </c>
      <c r="H16" s="25">
        <v>2.2700000000000001E-2</v>
      </c>
      <c r="I16" s="9"/>
      <c r="J16" s="26" t="str">
        <f>IF(I16="","",IF(G16="","N/A",IFERROR(ROUND((G16-I16)/I16*100,2),"")))</f>
        <v/>
      </c>
      <c r="K16" s="25">
        <v>0.4622</v>
      </c>
      <c r="L16" s="25">
        <v>6.3E-3</v>
      </c>
      <c r="M16" s="9"/>
      <c r="N16" s="26" t="str">
        <f>IF(M16="","",IF(K16="","N/A",IFERROR(ROUND((K16-M16)/M16*100,2),"")))</f>
        <v/>
      </c>
      <c r="O16" s="23">
        <v>1.03</v>
      </c>
      <c r="P16" s="9"/>
      <c r="Q16" s="26" t="str">
        <f>IF(P16="","",IF(O16="","N/A",IFERROR(ROUND((O16-P16)/P16*100,2),"")))</f>
        <v/>
      </c>
      <c r="R16" s="22" t="s">
        <v>30</v>
      </c>
      <c r="S16" s="26">
        <v>33</v>
      </c>
      <c r="T16" s="22" t="s">
        <v>22</v>
      </c>
      <c r="U16" s="9"/>
      <c r="V16" s="26" t="str">
        <f>IF(U16="","",IF(S16="","N/A",IFERROR(ROUND(S16-U16,2),"")))</f>
        <v/>
      </c>
      <c r="W16" s="27"/>
    </row>
    <row r="17" spans="1:23" ht="16.05" customHeight="1" x14ac:dyDescent="0.3">
      <c r="A17" s="21" t="s">
        <v>33</v>
      </c>
      <c r="B17" s="22" t="s">
        <v>24</v>
      </c>
      <c r="C17" s="23">
        <v>1.5</v>
      </c>
      <c r="D17" s="22">
        <v>2</v>
      </c>
      <c r="E17" s="24">
        <v>1</v>
      </c>
      <c r="F17" s="22">
        <v>7</v>
      </c>
      <c r="G17" s="25">
        <v>0.49959999999999999</v>
      </c>
      <c r="H17" s="25">
        <v>1.6999999999999999E-3</v>
      </c>
      <c r="I17" s="9"/>
      <c r="J17" s="26" t="str">
        <f>IF(I17="","",IF(G17="","N/A",IFERROR(ROUND((G17-I17)/I17*100,2),"")))</f>
        <v/>
      </c>
      <c r="K17" s="25">
        <v>0.56730000000000003</v>
      </c>
      <c r="L17" s="25">
        <v>4.7000000000000002E-3</v>
      </c>
      <c r="M17" s="9"/>
      <c r="N17" s="26" t="str">
        <f>IF(M17="","",IF(K17="","N/A",IFERROR(ROUND((K17-M17)/M17*100,2),"")))</f>
        <v/>
      </c>
      <c r="O17" s="23">
        <v>1.1359999999999999</v>
      </c>
      <c r="P17" s="9"/>
      <c r="Q17" s="26" t="str">
        <f>IF(P17="","",IF(O17="","N/A",IFERROR(ROUND((O17-P17)/P17*100,2),"")))</f>
        <v/>
      </c>
      <c r="R17" s="22" t="s">
        <v>22</v>
      </c>
      <c r="S17" s="26">
        <v>26.1</v>
      </c>
      <c r="T17" s="22" t="s">
        <v>30</v>
      </c>
      <c r="U17" s="9"/>
      <c r="V17" s="26" t="str">
        <f>IF(U17="","",IF(S17="","N/A",IFERROR(ROUND(S17-U17,2),"")))</f>
        <v/>
      </c>
      <c r="W17" s="27"/>
    </row>
    <row r="18" spans="1:23" ht="16.05" customHeight="1" x14ac:dyDescent="0.3">
      <c r="A18" s="21" t="s">
        <v>33</v>
      </c>
      <c r="B18" s="22" t="s">
        <v>28</v>
      </c>
      <c r="C18" s="23">
        <v>5.5</v>
      </c>
      <c r="D18" s="22">
        <v>2</v>
      </c>
      <c r="E18" s="24">
        <v>1</v>
      </c>
      <c r="F18" s="22">
        <v>7</v>
      </c>
      <c r="G18" s="25">
        <v>0.37440000000000001</v>
      </c>
      <c r="H18" s="25">
        <v>1.2999999999999999E-3</v>
      </c>
      <c r="I18" s="9"/>
      <c r="J18" s="26" t="str">
        <f>IF(I18="","",IF(G18="","N/A",IFERROR(ROUND((G18-I18)/I18*100,2),"")))</f>
        <v/>
      </c>
      <c r="K18" s="25">
        <v>0.43940000000000001</v>
      </c>
      <c r="L18" s="25">
        <v>1.4E-3</v>
      </c>
      <c r="M18" s="9"/>
      <c r="N18" s="26" t="str">
        <f>IF(M18="","",IF(K18="","N/A",IFERROR(ROUND((K18-M18)/M18*100,2),"")))</f>
        <v/>
      </c>
      <c r="O18" s="23">
        <v>1.1739999999999999</v>
      </c>
      <c r="P18" s="9"/>
      <c r="Q18" s="26" t="str">
        <f>IF(P18="","",IF(O18="","N/A",IFERROR(ROUND((O18-P18)/P18*100,2),"")))</f>
        <v/>
      </c>
      <c r="R18" s="22" t="s">
        <v>22</v>
      </c>
      <c r="S18" s="26">
        <v>29.57</v>
      </c>
      <c r="T18" s="22" t="s">
        <v>30</v>
      </c>
      <c r="U18" s="9"/>
      <c r="V18" s="26" t="str">
        <f>IF(U18="","",IF(S18="","N/A",IFERROR(ROUND(S18-U18,2),"")))</f>
        <v/>
      </c>
      <c r="W18" s="27"/>
    </row>
    <row r="19" spans="1:23" ht="6" customHeight="1" x14ac:dyDescent="0.3"/>
    <row r="20" spans="1:23" ht="16.05" customHeight="1" x14ac:dyDescent="0.3">
      <c r="A20" s="28" t="s">
        <v>34</v>
      </c>
      <c r="B20" s="29" t="s">
        <v>21</v>
      </c>
      <c r="C20" s="30">
        <v>0.6</v>
      </c>
      <c r="D20" s="29">
        <v>3</v>
      </c>
      <c r="E20" s="31">
        <v>1</v>
      </c>
      <c r="F20" s="29">
        <v>7</v>
      </c>
      <c r="G20" s="19"/>
      <c r="H20" s="19"/>
      <c r="I20" s="9"/>
      <c r="J20" s="32" t="str">
        <f>IF(I20="","",IF(G20="","N/A",IFERROR(ROUND((G20-I20)/I20*100,2),"")))</f>
        <v/>
      </c>
      <c r="K20" s="33">
        <v>0.83499999999999996</v>
      </c>
      <c r="L20" s="33">
        <v>6.7999999999999996E-3</v>
      </c>
      <c r="M20" s="9"/>
      <c r="N20" s="32" t="str">
        <f>IF(M20="","",IF(K20="","N/A",IFERROR(ROUND((K20-M20)/M20*100,2),"")))</f>
        <v/>
      </c>
      <c r="O20" s="20"/>
      <c r="P20" s="9"/>
      <c r="Q20" s="32" t="str">
        <f>IF(P20="","",IF(O20="","N/A",IFERROR(ROUND((O20-P20)/P20*100,2),"")))</f>
        <v/>
      </c>
      <c r="R20" s="29" t="s">
        <v>26</v>
      </c>
      <c r="S20" s="32">
        <v>47.37</v>
      </c>
      <c r="T20" s="29" t="s">
        <v>35</v>
      </c>
      <c r="U20" s="9"/>
      <c r="V20" s="32" t="str">
        <f>IF(U20="","",IF(S20="","N/A",IFERROR(ROUND(S20-U20,2),"")))</f>
        <v/>
      </c>
      <c r="W20" s="34" t="s">
        <v>36</v>
      </c>
    </row>
    <row r="21" spans="1:23" ht="16.05" customHeight="1" x14ac:dyDescent="0.3">
      <c r="A21" s="28" t="s">
        <v>34</v>
      </c>
      <c r="B21" s="29" t="s">
        <v>23</v>
      </c>
      <c r="C21" s="30">
        <v>7.4999999999999997E-2</v>
      </c>
      <c r="D21" s="29">
        <v>3</v>
      </c>
      <c r="E21" s="31">
        <v>1</v>
      </c>
      <c r="F21" s="29">
        <v>7</v>
      </c>
      <c r="G21" s="19"/>
      <c r="H21" s="19"/>
      <c r="I21" s="9"/>
      <c r="J21" s="32" t="str">
        <f>IF(I21="","",IF(G21="","N/A",IFERROR(ROUND((G21-I21)/I21*100,2),"")))</f>
        <v/>
      </c>
      <c r="K21" s="33">
        <v>0.81869999999999998</v>
      </c>
      <c r="L21" s="33">
        <v>1.8100000000000002E-2</v>
      </c>
      <c r="M21" s="9"/>
      <c r="N21" s="32" t="str">
        <f>IF(M21="","",IF(K21="","N/A",IFERROR(ROUND((K21-M21)/M21*100,2),"")))</f>
        <v/>
      </c>
      <c r="O21" s="20"/>
      <c r="P21" s="9"/>
      <c r="Q21" s="32" t="str">
        <f>IF(P21="","",IF(O21="","N/A",IFERROR(ROUND((O21-P21)/P21*100,2),"")))</f>
        <v/>
      </c>
      <c r="R21" s="29" t="s">
        <v>26</v>
      </c>
      <c r="S21" s="32">
        <v>34.700000000000003</v>
      </c>
      <c r="T21" s="29" t="s">
        <v>22</v>
      </c>
      <c r="U21" s="9"/>
      <c r="V21" s="32" t="str">
        <f>IF(U21="","",IF(S21="","N/A",IFERROR(ROUND(S21-U21,2),"")))</f>
        <v/>
      </c>
      <c r="W21" s="34" t="s">
        <v>36</v>
      </c>
    </row>
    <row r="22" spans="1:23" ht="16.05" customHeight="1" x14ac:dyDescent="0.3">
      <c r="A22" s="28" t="s">
        <v>34</v>
      </c>
      <c r="B22" s="29" t="s">
        <v>24</v>
      </c>
      <c r="C22" s="30">
        <v>1.5</v>
      </c>
      <c r="D22" s="29">
        <v>3</v>
      </c>
      <c r="E22" s="31">
        <v>1</v>
      </c>
      <c r="F22" s="29">
        <v>7</v>
      </c>
      <c r="G22" s="19"/>
      <c r="H22" s="19"/>
      <c r="I22" s="9"/>
      <c r="J22" s="32" t="str">
        <f>IF(I22="","",IF(G22="","N/A",IFERROR(ROUND((G22-I22)/I22*100,2),"")))</f>
        <v/>
      </c>
      <c r="K22" s="33">
        <v>1.0096000000000001</v>
      </c>
      <c r="L22" s="33">
        <v>9.2999999999999992E-3</v>
      </c>
      <c r="M22" s="9"/>
      <c r="N22" s="32" t="str">
        <f>IF(M22="","",IF(K22="","N/A",IFERROR(ROUND((K22-M22)/M22*100,2),"")))</f>
        <v/>
      </c>
      <c r="O22" s="20"/>
      <c r="P22" s="9"/>
      <c r="Q22" s="32" t="str">
        <f>IF(P22="","",IF(O22="","N/A",IFERROR(ROUND((O22-P22)/P22*100,2),"")))</f>
        <v/>
      </c>
      <c r="R22" s="29" t="s">
        <v>26</v>
      </c>
      <c r="S22" s="32">
        <v>40.869999999999997</v>
      </c>
      <c r="T22" s="29" t="s">
        <v>25</v>
      </c>
      <c r="U22" s="9"/>
      <c r="V22" s="32" t="str">
        <f>IF(U22="","",IF(S22="","N/A",IFERROR(ROUND(S22-U22,2),"")))</f>
        <v/>
      </c>
      <c r="W22" s="34" t="s">
        <v>37</v>
      </c>
    </row>
    <row r="23" spans="1:23" ht="16.05" customHeight="1" x14ac:dyDescent="0.3">
      <c r="A23" s="28" t="s">
        <v>34</v>
      </c>
      <c r="B23" s="29" t="s">
        <v>28</v>
      </c>
      <c r="C23" s="30">
        <v>5.5</v>
      </c>
      <c r="D23" s="29">
        <v>3</v>
      </c>
      <c r="E23" s="31">
        <v>1</v>
      </c>
      <c r="F23" s="29">
        <v>7</v>
      </c>
      <c r="G23" s="19"/>
      <c r="H23" s="19"/>
      <c r="I23" s="9"/>
      <c r="J23" s="32" t="str">
        <f>IF(I23="","",IF(G23="","N/A",IFERROR(ROUND((G23-I23)/I23*100,2),"")))</f>
        <v/>
      </c>
      <c r="K23" s="33">
        <v>0.75890000000000002</v>
      </c>
      <c r="L23" s="33">
        <v>1.2200000000000001E-2</v>
      </c>
      <c r="M23" s="9"/>
      <c r="N23" s="32" t="str">
        <f>IF(M23="","",IF(K23="","N/A",IFERROR(ROUND((K23-M23)/M23*100,2),"")))</f>
        <v/>
      </c>
      <c r="O23" s="30">
        <v>1.0669999999999999</v>
      </c>
      <c r="P23" s="9"/>
      <c r="Q23" s="32" t="str">
        <f>IF(P23="","",IF(O23="","N/A",IFERROR(ROUND((O23-P23)/P23*100,2),"")))</f>
        <v/>
      </c>
      <c r="R23" s="29" t="s">
        <v>30</v>
      </c>
      <c r="S23" s="32">
        <v>40.619999999999997</v>
      </c>
      <c r="T23" s="29" t="s">
        <v>25</v>
      </c>
      <c r="U23" s="9"/>
      <c r="V23" s="32" t="str">
        <f>IF(U23="","",IF(S23="","N/A",IFERROR(ROUND(S23-U23,2),"")))</f>
        <v/>
      </c>
      <c r="W23" s="34" t="s">
        <v>38</v>
      </c>
    </row>
    <row r="25" spans="1:23" x14ac:dyDescent="0.3">
      <c r="A25" s="52" t="s">
        <v>39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</row>
  </sheetData>
  <mergeCells count="9">
    <mergeCell ref="A25:W25"/>
    <mergeCell ref="A3:F3"/>
    <mergeCell ref="A2:W2"/>
    <mergeCell ref="A1:W1"/>
    <mergeCell ref="S3:V3"/>
    <mergeCell ref="G3:J3"/>
    <mergeCell ref="K3:N3"/>
    <mergeCell ref="O3:R3"/>
    <mergeCell ref="W3:W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abSelected="1" workbookViewId="0">
      <pane ySplit="11" topLeftCell="A12" activePane="bottomLeft" state="frozen"/>
      <selection pane="bottomLeft" sqref="A1:Q1"/>
    </sheetView>
  </sheetViews>
  <sheetFormatPr defaultRowHeight="14.4" x14ac:dyDescent="0.3"/>
  <cols>
    <col min="1" max="1" width="12.44140625" bestFit="1" customWidth="1"/>
    <col min="2" max="2" width="23.5546875" bestFit="1" customWidth="1"/>
    <col min="3" max="3" width="12.44140625" bestFit="1" customWidth="1"/>
    <col min="4" max="4" width="7.21875" bestFit="1" customWidth="1"/>
    <col min="5" max="5" width="8.33203125" bestFit="1" customWidth="1"/>
    <col min="6" max="6" width="10.21875" bestFit="1" customWidth="1"/>
    <col min="7" max="7" width="17.88671875" bestFit="1" customWidth="1"/>
    <col min="8" max="13" width="8" customWidth="1"/>
    <col min="14" max="14" width="11" customWidth="1"/>
    <col min="15" max="15" width="10" customWidth="1"/>
    <col min="16" max="16" width="8" customWidth="1"/>
    <col min="17" max="17" width="42" customWidth="1"/>
  </cols>
  <sheetData>
    <row r="1" spans="1:17" ht="31.95" customHeight="1" x14ac:dyDescent="0.3">
      <c r="A1" s="58" t="s">
        <v>40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9.95" customHeight="1" x14ac:dyDescent="0.3">
      <c r="A2" s="57" t="s">
        <v>41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22.05" customHeight="1" x14ac:dyDescent="0.3">
      <c r="A3" s="56" t="s">
        <v>42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ht="36" customHeight="1" x14ac:dyDescent="0.3">
      <c r="A4" s="35" t="s">
        <v>8</v>
      </c>
      <c r="B4" s="35" t="s">
        <v>43</v>
      </c>
      <c r="C4" s="35" t="s">
        <v>44</v>
      </c>
      <c r="D4" s="35" t="s">
        <v>45</v>
      </c>
      <c r="E4" s="35" t="s">
        <v>46</v>
      </c>
      <c r="F4" s="35" t="s">
        <v>47</v>
      </c>
      <c r="G4" s="35" t="s">
        <v>48</v>
      </c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 ht="16.05" customHeight="1" x14ac:dyDescent="0.3">
      <c r="A5" s="4" t="s">
        <v>20</v>
      </c>
      <c r="B5" s="11" t="s">
        <v>49</v>
      </c>
      <c r="C5" s="37">
        <v>4.3430000000000003E-2</v>
      </c>
      <c r="D5" s="37">
        <v>0.39285999999999999</v>
      </c>
      <c r="E5" s="37">
        <v>1.1924999999999999</v>
      </c>
      <c r="F5" s="37">
        <v>3.2635000000000001</v>
      </c>
      <c r="G5" s="5" t="s">
        <v>50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6.05" customHeight="1" x14ac:dyDescent="0.3">
      <c r="A6" s="12" t="s">
        <v>31</v>
      </c>
      <c r="B6" s="18" t="s">
        <v>51</v>
      </c>
      <c r="C6" s="38">
        <v>1.1140000000000001E-2</v>
      </c>
      <c r="D6" s="38">
        <v>9.9430000000000004E-2</v>
      </c>
      <c r="E6" s="38">
        <v>0.31233</v>
      </c>
      <c r="F6" s="38">
        <v>0.80800000000000005</v>
      </c>
      <c r="G6" s="13" t="s">
        <v>52</v>
      </c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ht="16.05" customHeight="1" x14ac:dyDescent="0.3">
      <c r="A7" s="21" t="s">
        <v>33</v>
      </c>
      <c r="B7" s="27" t="s">
        <v>53</v>
      </c>
      <c r="C7" s="39">
        <v>3.0290000000000001E-2</v>
      </c>
      <c r="D7" s="39">
        <v>0.23014000000000001</v>
      </c>
      <c r="E7" s="39">
        <v>0.75556999999999996</v>
      </c>
      <c r="F7" s="39">
        <v>2.14086</v>
      </c>
      <c r="G7" s="22" t="s">
        <v>54</v>
      </c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16.05" customHeight="1" x14ac:dyDescent="0.3">
      <c r="A8" s="28" t="s">
        <v>34</v>
      </c>
      <c r="B8" s="34" t="s">
        <v>55</v>
      </c>
      <c r="C8" s="40">
        <v>5.8139999999999997E-2</v>
      </c>
      <c r="D8" s="40">
        <v>0.41328999999999999</v>
      </c>
      <c r="E8" s="40">
        <v>1.3525</v>
      </c>
      <c r="F8" s="40">
        <v>1.6778</v>
      </c>
      <c r="G8" s="29" t="s">
        <v>56</v>
      </c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ht="7.95" customHeight="1" x14ac:dyDescent="0.3"/>
    <row r="10" spans="1:17" ht="22.05" customHeight="1" x14ac:dyDescent="0.3">
      <c r="A10" s="56" t="s">
        <v>57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25.95" customHeight="1" x14ac:dyDescent="0.3">
      <c r="A11" s="53" t="s">
        <v>58</v>
      </c>
      <c r="B11" s="48"/>
      <c r="C11" s="48"/>
      <c r="D11" s="48"/>
      <c r="E11" s="48"/>
      <c r="F11" s="48"/>
      <c r="G11" s="50" t="s">
        <v>59</v>
      </c>
      <c r="H11" s="48"/>
      <c r="I11" s="48"/>
      <c r="J11" s="48"/>
      <c r="K11" s="48"/>
      <c r="L11" s="48"/>
      <c r="M11" s="48"/>
      <c r="N11" s="53" t="s">
        <v>60</v>
      </c>
      <c r="O11" s="53" t="s">
        <v>61</v>
      </c>
      <c r="P11" s="53" t="s">
        <v>62</v>
      </c>
      <c r="Q11" s="51" t="s">
        <v>7</v>
      </c>
    </row>
    <row r="12" spans="1:17" ht="36" customHeight="1" x14ac:dyDescent="0.3">
      <c r="A12" s="1" t="s">
        <v>63</v>
      </c>
      <c r="B12" s="1" t="s">
        <v>64</v>
      </c>
      <c r="C12" s="1" t="s">
        <v>8</v>
      </c>
      <c r="D12" s="1" t="s">
        <v>11</v>
      </c>
      <c r="E12" s="1" t="s">
        <v>12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70</v>
      </c>
      <c r="L12" s="1" t="s">
        <v>71</v>
      </c>
      <c r="M12" s="1" t="s">
        <v>72</v>
      </c>
      <c r="N12" s="48"/>
      <c r="O12" s="48"/>
      <c r="P12" s="48"/>
      <c r="Q12" s="48"/>
    </row>
    <row r="13" spans="1:17" ht="19.95" customHeight="1" x14ac:dyDescent="0.3">
      <c r="A13" s="55" t="s">
        <v>73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spans="1:17" ht="16.05" customHeight="1" x14ac:dyDescent="0.3">
      <c r="A14" s="5" t="s">
        <v>23</v>
      </c>
      <c r="B14" s="6">
        <v>7.4999999999999997E-2</v>
      </c>
      <c r="C14" s="4" t="s">
        <v>20</v>
      </c>
      <c r="D14" s="5">
        <v>1</v>
      </c>
      <c r="E14" s="7">
        <v>1</v>
      </c>
      <c r="F14" s="5">
        <v>7</v>
      </c>
      <c r="G14" s="6">
        <v>3.6999999999999998E-2</v>
      </c>
      <c r="H14" s="6">
        <v>4.7E-2</v>
      </c>
      <c r="I14" s="6">
        <v>4.4999999999999998E-2</v>
      </c>
      <c r="J14" s="6">
        <v>3.5999999999999997E-2</v>
      </c>
      <c r="K14" s="6">
        <v>4.9000000000000002E-2</v>
      </c>
      <c r="L14" s="6">
        <v>5.0999999999999997E-2</v>
      </c>
      <c r="M14" s="6">
        <v>3.9E-2</v>
      </c>
      <c r="N14" s="41">
        <v>4.3430000000000003E-2</v>
      </c>
      <c r="O14" s="37">
        <v>5.5999999999999999E-3</v>
      </c>
      <c r="P14" s="10">
        <f>IF(N14=0,"",IFERROR(ROUND(O14/N14*100,2),""))</f>
        <v>12.89</v>
      </c>
      <c r="Q14" s="11"/>
    </row>
    <row r="15" spans="1:17" ht="16.05" customHeight="1" x14ac:dyDescent="0.3">
      <c r="A15" s="13" t="s">
        <v>23</v>
      </c>
      <c r="B15" s="14">
        <v>7.4999999999999997E-2</v>
      </c>
      <c r="C15" s="12" t="s">
        <v>31</v>
      </c>
      <c r="D15" s="13">
        <v>1</v>
      </c>
      <c r="E15" s="15">
        <v>1</v>
      </c>
      <c r="F15" s="13">
        <v>7</v>
      </c>
      <c r="G15" s="14">
        <v>1.2999999999999999E-2</v>
      </c>
      <c r="H15" s="14">
        <v>7.0000000000000001E-3</v>
      </c>
      <c r="I15" s="14">
        <v>1.0999999999999999E-2</v>
      </c>
      <c r="J15" s="14">
        <v>1.7000000000000001E-2</v>
      </c>
      <c r="K15" s="14">
        <v>6.0000000000000001E-3</v>
      </c>
      <c r="L15" s="14">
        <v>0.01</v>
      </c>
      <c r="M15" s="14">
        <v>1.4E-2</v>
      </c>
      <c r="N15" s="42">
        <v>1.1140000000000001E-2</v>
      </c>
      <c r="O15" s="38">
        <v>3.5999999999999999E-3</v>
      </c>
      <c r="P15" s="43">
        <f>IF(N15=0,"",IFERROR(ROUND(O15/N15*100,2),""))</f>
        <v>32.32</v>
      </c>
      <c r="Q15" s="18"/>
    </row>
    <row r="16" spans="1:17" ht="16.05" customHeight="1" x14ac:dyDescent="0.3">
      <c r="A16" s="22" t="s">
        <v>23</v>
      </c>
      <c r="B16" s="23">
        <v>7.4999999999999997E-2</v>
      </c>
      <c r="C16" s="21" t="s">
        <v>33</v>
      </c>
      <c r="D16" s="22">
        <v>1</v>
      </c>
      <c r="E16" s="24">
        <v>1</v>
      </c>
      <c r="F16" s="22">
        <v>7</v>
      </c>
      <c r="G16" s="23">
        <v>2.8000000000000001E-2</v>
      </c>
      <c r="H16" s="23">
        <v>3.1E-2</v>
      </c>
      <c r="I16" s="23">
        <v>3.1E-2</v>
      </c>
      <c r="J16" s="23">
        <v>3.3000000000000002E-2</v>
      </c>
      <c r="K16" s="23">
        <v>2.5999999999999999E-2</v>
      </c>
      <c r="L16" s="23">
        <v>3.4000000000000002E-2</v>
      </c>
      <c r="M16" s="23">
        <v>2.9000000000000001E-2</v>
      </c>
      <c r="N16" s="44">
        <v>3.0290000000000001E-2</v>
      </c>
      <c r="O16" s="39">
        <v>2.5999999999999999E-3</v>
      </c>
      <c r="P16" s="26">
        <f>IF(N16=0,"",IFERROR(ROUND(O16/N16*100,2),""))</f>
        <v>8.58</v>
      </c>
      <c r="Q16" s="27"/>
    </row>
    <row r="17" spans="1:17" ht="16.05" customHeight="1" x14ac:dyDescent="0.3">
      <c r="A17" s="29" t="s">
        <v>23</v>
      </c>
      <c r="B17" s="30">
        <v>7.4999999999999997E-2</v>
      </c>
      <c r="C17" s="28" t="s">
        <v>34</v>
      </c>
      <c r="D17" s="29">
        <v>3</v>
      </c>
      <c r="E17" s="31">
        <v>1</v>
      </c>
      <c r="F17" s="29">
        <v>7</v>
      </c>
      <c r="G17" s="30">
        <v>6.3E-2</v>
      </c>
      <c r="H17" s="30">
        <v>5.7000000000000002E-2</v>
      </c>
      <c r="I17" s="30">
        <v>5.7000000000000002E-2</v>
      </c>
      <c r="J17" s="30">
        <v>0.06</v>
      </c>
      <c r="K17" s="30">
        <v>5.0999999999999997E-2</v>
      </c>
      <c r="L17" s="30">
        <v>6.0999999999999999E-2</v>
      </c>
      <c r="M17" s="30">
        <v>5.8000000000000003E-2</v>
      </c>
      <c r="N17" s="45">
        <v>5.8139999999999997E-2</v>
      </c>
      <c r="O17" s="40">
        <v>3.5599999999999998E-3</v>
      </c>
      <c r="P17" s="32">
        <f>IF(N17=0,"",IFERROR(ROUND(O17/N17*100,2),""))</f>
        <v>6.12</v>
      </c>
      <c r="Q17" s="34"/>
    </row>
    <row r="18" spans="1:17" ht="7.95" customHeight="1" x14ac:dyDescent="0.3"/>
    <row r="19" spans="1:17" ht="19.95" customHeight="1" x14ac:dyDescent="0.3">
      <c r="A19" s="55" t="s">
        <v>74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</row>
    <row r="20" spans="1:17" ht="16.05" customHeight="1" x14ac:dyDescent="0.3">
      <c r="A20" s="5" t="s">
        <v>21</v>
      </c>
      <c r="B20" s="6">
        <v>0.6</v>
      </c>
      <c r="C20" s="4" t="s">
        <v>20</v>
      </c>
      <c r="D20" s="5">
        <v>2</v>
      </c>
      <c r="E20" s="7">
        <v>1</v>
      </c>
      <c r="F20" s="5">
        <v>7</v>
      </c>
      <c r="G20" s="6">
        <v>0.39600000000000002</v>
      </c>
      <c r="H20" s="6">
        <v>0.38800000000000001</v>
      </c>
      <c r="I20" s="6">
        <v>0.39900000000000002</v>
      </c>
      <c r="J20" s="6">
        <v>0.39</v>
      </c>
      <c r="K20" s="6">
        <v>0.39</v>
      </c>
      <c r="L20" s="6">
        <v>0.40100000000000002</v>
      </c>
      <c r="M20" s="6">
        <v>0.38600000000000001</v>
      </c>
      <c r="N20" s="41">
        <v>0.39285999999999999</v>
      </c>
      <c r="O20" s="37">
        <v>5.3600000000000002E-3</v>
      </c>
      <c r="P20" s="10">
        <f>IF(N20=0,"",IFERROR(ROUND(O20/N20*100,2),""))</f>
        <v>1.36</v>
      </c>
      <c r="Q20" s="11"/>
    </row>
    <row r="21" spans="1:17" ht="16.05" customHeight="1" x14ac:dyDescent="0.3">
      <c r="A21" s="13" t="s">
        <v>21</v>
      </c>
      <c r="B21" s="14">
        <v>0.6</v>
      </c>
      <c r="C21" s="12" t="s">
        <v>31</v>
      </c>
      <c r="D21" s="13">
        <v>1</v>
      </c>
      <c r="E21" s="15">
        <v>1</v>
      </c>
      <c r="F21" s="13">
        <v>7</v>
      </c>
      <c r="G21" s="14">
        <v>0.10199999999999999</v>
      </c>
      <c r="H21" s="14">
        <v>0.10100000000000001</v>
      </c>
      <c r="I21" s="14">
        <v>9.2999999999999999E-2</v>
      </c>
      <c r="J21" s="14">
        <v>0.107</v>
      </c>
      <c r="K21" s="14">
        <v>9.1999999999999998E-2</v>
      </c>
      <c r="L21" s="14">
        <v>0.11</v>
      </c>
      <c r="M21" s="14">
        <v>9.0999999999999998E-2</v>
      </c>
      <c r="N21" s="42">
        <v>9.9430000000000004E-2</v>
      </c>
      <c r="O21" s="38">
        <v>7.0299999999999998E-3</v>
      </c>
      <c r="P21" s="17">
        <f>IF(N21=0,"",IFERROR(ROUND(O21/N21*100,2),""))</f>
        <v>7.07</v>
      </c>
      <c r="Q21" s="18"/>
    </row>
    <row r="22" spans="1:17" ht="16.05" customHeight="1" x14ac:dyDescent="0.3">
      <c r="A22" s="22" t="s">
        <v>21</v>
      </c>
      <c r="B22" s="23">
        <v>0.6</v>
      </c>
      <c r="C22" s="21" t="s">
        <v>33</v>
      </c>
      <c r="D22" s="22">
        <v>1</v>
      </c>
      <c r="E22" s="24">
        <v>1</v>
      </c>
      <c r="F22" s="22">
        <v>7</v>
      </c>
      <c r="G22" s="23">
        <v>0.23499999999999999</v>
      </c>
      <c r="H22" s="23">
        <v>0.22600000000000001</v>
      </c>
      <c r="I22" s="23">
        <v>0.23300000000000001</v>
      </c>
      <c r="J22" s="23">
        <v>0.22700000000000001</v>
      </c>
      <c r="K22" s="23">
        <v>0.23</v>
      </c>
      <c r="L22" s="23">
        <v>0.22900000000000001</v>
      </c>
      <c r="M22" s="23">
        <v>0.23100000000000001</v>
      </c>
      <c r="N22" s="44">
        <v>0.23014000000000001</v>
      </c>
      <c r="O22" s="39">
        <v>2.9499999999999999E-3</v>
      </c>
      <c r="P22" s="26">
        <f>IF(N22=0,"",IFERROR(ROUND(O22/N22*100,2),""))</f>
        <v>1.28</v>
      </c>
      <c r="Q22" s="27"/>
    </row>
    <row r="23" spans="1:17" ht="16.05" customHeight="1" x14ac:dyDescent="0.3">
      <c r="A23" s="29" t="s">
        <v>21</v>
      </c>
      <c r="B23" s="30">
        <v>0.6</v>
      </c>
      <c r="C23" s="28" t="s">
        <v>34</v>
      </c>
      <c r="D23" s="29">
        <v>3</v>
      </c>
      <c r="E23" s="31">
        <v>1</v>
      </c>
      <c r="F23" s="29">
        <v>7</v>
      </c>
      <c r="G23" s="30">
        <v>0.434</v>
      </c>
      <c r="H23" s="30">
        <v>0.40400000000000003</v>
      </c>
      <c r="I23" s="30">
        <v>0.41399999999999998</v>
      </c>
      <c r="J23" s="30">
        <v>0.41299999999999998</v>
      </c>
      <c r="K23" s="30">
        <v>0.41799999999999998</v>
      </c>
      <c r="L23" s="30">
        <v>0.38900000000000001</v>
      </c>
      <c r="M23" s="30">
        <v>0.42099999999999999</v>
      </c>
      <c r="N23" s="45">
        <v>0.41328999999999999</v>
      </c>
      <c r="O23" s="40">
        <v>1.302E-2</v>
      </c>
      <c r="P23" s="32">
        <f>IF(N23=0,"",IFERROR(ROUND(O23/N23*100,2),""))</f>
        <v>3.15</v>
      </c>
      <c r="Q23" s="34"/>
    </row>
    <row r="24" spans="1:17" ht="7.95" customHeight="1" x14ac:dyDescent="0.3"/>
    <row r="25" spans="1:17" ht="19.95" customHeight="1" x14ac:dyDescent="0.3">
      <c r="A25" s="55" t="s">
        <v>75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</row>
    <row r="26" spans="1:17" ht="16.05" customHeight="1" x14ac:dyDescent="0.3">
      <c r="A26" s="5" t="s">
        <v>24</v>
      </c>
      <c r="B26" s="6">
        <v>1.5</v>
      </c>
      <c r="C26" s="4" t="s">
        <v>20</v>
      </c>
      <c r="D26" s="5">
        <v>1</v>
      </c>
      <c r="E26" s="7">
        <v>1</v>
      </c>
      <c r="F26" s="5">
        <v>7</v>
      </c>
      <c r="G26" s="46">
        <v>1.25</v>
      </c>
      <c r="H26" s="6">
        <v>1.282</v>
      </c>
      <c r="I26" s="6">
        <v>1.198</v>
      </c>
      <c r="J26" s="6">
        <v>1.1639999999999999</v>
      </c>
      <c r="K26" s="6">
        <v>1.179</v>
      </c>
      <c r="L26" s="6">
        <v>1.161</v>
      </c>
      <c r="M26" s="6">
        <v>1.171</v>
      </c>
      <c r="N26" s="41">
        <v>1.1924999999999999</v>
      </c>
      <c r="O26" s="37">
        <v>4.181E-2</v>
      </c>
      <c r="P26" s="10">
        <f>IF(N26=0,"",IFERROR(ROUND(O26/N26*100,2),""))</f>
        <v>3.51</v>
      </c>
      <c r="Q26" s="11" t="s">
        <v>76</v>
      </c>
    </row>
    <row r="27" spans="1:17" ht="16.05" customHeight="1" x14ac:dyDescent="0.3">
      <c r="A27" s="13" t="s">
        <v>24</v>
      </c>
      <c r="B27" s="14">
        <v>1.5</v>
      </c>
      <c r="C27" s="12" t="s">
        <v>31</v>
      </c>
      <c r="D27" s="13">
        <v>1</v>
      </c>
      <c r="E27" s="15">
        <v>1</v>
      </c>
      <c r="F27" s="13">
        <v>7</v>
      </c>
      <c r="G27" s="46">
        <v>0.32100000000000001</v>
      </c>
      <c r="H27" s="14">
        <v>0.317</v>
      </c>
      <c r="I27" s="14">
        <v>0.315</v>
      </c>
      <c r="J27" s="14">
        <v>0.308</v>
      </c>
      <c r="K27" s="14">
        <v>0.311</v>
      </c>
      <c r="L27" s="14">
        <v>0.312</v>
      </c>
      <c r="M27" s="14">
        <v>0.311</v>
      </c>
      <c r="N27" s="42">
        <v>0.31233</v>
      </c>
      <c r="O27" s="38">
        <v>2.9199999999999999E-3</v>
      </c>
      <c r="P27" s="17">
        <f>IF(N27=0,"",IFERROR(ROUND(O27/N27*100,2),""))</f>
        <v>0.93</v>
      </c>
      <c r="Q27" s="18" t="s">
        <v>76</v>
      </c>
    </row>
    <row r="28" spans="1:17" ht="16.05" customHeight="1" x14ac:dyDescent="0.3">
      <c r="A28" s="22" t="s">
        <v>24</v>
      </c>
      <c r="B28" s="23">
        <v>1.5</v>
      </c>
      <c r="C28" s="21" t="s">
        <v>33</v>
      </c>
      <c r="D28" s="22">
        <v>2</v>
      </c>
      <c r="E28" s="24">
        <v>1</v>
      </c>
      <c r="F28" s="22">
        <v>7</v>
      </c>
      <c r="G28" s="23">
        <v>0.75900000000000001</v>
      </c>
      <c r="H28" s="23">
        <v>0.76700000000000002</v>
      </c>
      <c r="I28" s="23">
        <v>0.74199999999999999</v>
      </c>
      <c r="J28" s="23">
        <v>0.755</v>
      </c>
      <c r="K28" s="23">
        <v>0.755</v>
      </c>
      <c r="L28" s="23">
        <v>0.75800000000000001</v>
      </c>
      <c r="M28" s="23">
        <v>0.753</v>
      </c>
      <c r="N28" s="44">
        <v>0.75556999999999996</v>
      </c>
      <c r="O28" s="39">
        <v>6.9699999999999996E-3</v>
      </c>
      <c r="P28" s="26">
        <f>IF(N28=0,"",IFERROR(ROUND(O28/N28*100,2),""))</f>
        <v>0.92</v>
      </c>
      <c r="Q28" s="27"/>
    </row>
    <row r="29" spans="1:17" ht="16.05" customHeight="1" x14ac:dyDescent="0.3">
      <c r="A29" s="29" t="s">
        <v>24</v>
      </c>
      <c r="B29" s="30">
        <v>1.5</v>
      </c>
      <c r="C29" s="28" t="s">
        <v>34</v>
      </c>
      <c r="D29" s="29">
        <v>3</v>
      </c>
      <c r="E29" s="31">
        <v>1</v>
      </c>
      <c r="F29" s="29">
        <v>7</v>
      </c>
      <c r="G29" s="46">
        <v>1.355</v>
      </c>
      <c r="H29" s="30">
        <v>1.42</v>
      </c>
      <c r="I29" s="30">
        <v>1.3160000000000001</v>
      </c>
      <c r="J29" s="30">
        <v>1.35</v>
      </c>
      <c r="K29" s="30">
        <v>1.371</v>
      </c>
      <c r="L29" s="30">
        <v>1.355</v>
      </c>
      <c r="M29" s="30">
        <v>1.3029999999999999</v>
      </c>
      <c r="N29" s="45">
        <v>1.3525</v>
      </c>
      <c r="O29" s="40">
        <v>3.8059999999999997E-2</v>
      </c>
      <c r="P29" s="32">
        <f>IF(N29=0,"",IFERROR(ROUND(O29/N29*100,2),""))</f>
        <v>2.81</v>
      </c>
      <c r="Q29" s="34" t="s">
        <v>76</v>
      </c>
    </row>
    <row r="30" spans="1:17" ht="7.95" customHeight="1" x14ac:dyDescent="0.3"/>
    <row r="31" spans="1:17" ht="19.95" customHeight="1" x14ac:dyDescent="0.3">
      <c r="A31" s="55" t="s">
        <v>77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 spans="1:17" ht="16.05" customHeight="1" x14ac:dyDescent="0.3">
      <c r="A32" s="5" t="s">
        <v>28</v>
      </c>
      <c r="B32" s="6">
        <v>5.5</v>
      </c>
      <c r="C32" s="4" t="s">
        <v>20</v>
      </c>
      <c r="D32" s="5">
        <v>1</v>
      </c>
      <c r="E32" s="7">
        <v>1</v>
      </c>
      <c r="F32" s="5">
        <v>7</v>
      </c>
      <c r="G32" s="46">
        <v>3.419</v>
      </c>
      <c r="H32" s="6">
        <v>3.4159999999999999</v>
      </c>
      <c r="I32" s="6">
        <v>3.2120000000000002</v>
      </c>
      <c r="J32" s="6">
        <v>3.2530000000000001</v>
      </c>
      <c r="K32" s="6">
        <v>3.2440000000000002</v>
      </c>
      <c r="L32" s="6">
        <v>3.2389999999999999</v>
      </c>
      <c r="M32" s="6">
        <v>3.2170000000000001</v>
      </c>
      <c r="N32" s="41">
        <v>3.2635000000000001</v>
      </c>
      <c r="O32" s="37">
        <v>6.9720000000000004E-2</v>
      </c>
      <c r="P32" s="10">
        <f>IF(N32=0,"",IFERROR(ROUND(O32/N32*100,2),""))</f>
        <v>2.14</v>
      </c>
      <c r="Q32" s="11" t="s">
        <v>76</v>
      </c>
    </row>
    <row r="33" spans="1:17" ht="16.05" customHeight="1" x14ac:dyDescent="0.3">
      <c r="A33" s="13" t="s">
        <v>28</v>
      </c>
      <c r="B33" s="14">
        <v>5.5</v>
      </c>
      <c r="C33" s="12" t="s">
        <v>31</v>
      </c>
      <c r="D33" s="13">
        <v>1</v>
      </c>
      <c r="E33" s="15">
        <v>1</v>
      </c>
      <c r="F33" s="13">
        <v>7</v>
      </c>
      <c r="G33" s="46">
        <v>0.88800000000000001</v>
      </c>
      <c r="H33" s="14">
        <v>0.86199999999999999</v>
      </c>
      <c r="I33" s="14">
        <v>0.77900000000000003</v>
      </c>
      <c r="J33" s="14">
        <v>0.81</v>
      </c>
      <c r="K33" s="14">
        <v>0.77800000000000002</v>
      </c>
      <c r="L33" s="14">
        <v>0.80400000000000005</v>
      </c>
      <c r="M33" s="14">
        <v>0.81499999999999995</v>
      </c>
      <c r="N33" s="42">
        <v>0.80800000000000005</v>
      </c>
      <c r="O33" s="38">
        <v>2.8070000000000001E-2</v>
      </c>
      <c r="P33" s="17">
        <f>IF(N33=0,"",IFERROR(ROUND(O33/N33*100,2),""))</f>
        <v>3.47</v>
      </c>
      <c r="Q33" s="18" t="s">
        <v>76</v>
      </c>
    </row>
    <row r="34" spans="1:17" ht="16.05" customHeight="1" x14ac:dyDescent="0.3">
      <c r="A34" s="22" t="s">
        <v>28</v>
      </c>
      <c r="B34" s="23">
        <v>5.5</v>
      </c>
      <c r="C34" s="21" t="s">
        <v>33</v>
      </c>
      <c r="D34" s="22">
        <v>2</v>
      </c>
      <c r="E34" s="24">
        <v>1</v>
      </c>
      <c r="F34" s="22">
        <v>7</v>
      </c>
      <c r="G34" s="23">
        <v>2.1080000000000001</v>
      </c>
      <c r="H34" s="23">
        <v>2.1139999999999999</v>
      </c>
      <c r="I34" s="23">
        <v>2.1800000000000002</v>
      </c>
      <c r="J34" s="23">
        <v>2.048</v>
      </c>
      <c r="K34" s="23">
        <v>2.2480000000000002</v>
      </c>
      <c r="L34" s="23">
        <v>2.1509999999999998</v>
      </c>
      <c r="M34" s="23">
        <v>2.137</v>
      </c>
      <c r="N34" s="44">
        <v>2.14086</v>
      </c>
      <c r="O34" s="39">
        <v>5.8009999999999999E-2</v>
      </c>
      <c r="P34" s="26">
        <f>IF(N34=0,"",IFERROR(ROUND(O34/N34*100,2),""))</f>
        <v>2.71</v>
      </c>
      <c r="Q34" s="27"/>
    </row>
    <row r="35" spans="1:17" ht="16.05" customHeight="1" x14ac:dyDescent="0.3">
      <c r="A35" s="29" t="s">
        <v>28</v>
      </c>
      <c r="B35" s="30">
        <v>5.5</v>
      </c>
      <c r="C35" s="28" t="s">
        <v>34</v>
      </c>
      <c r="D35" s="29">
        <v>3</v>
      </c>
      <c r="E35" s="31">
        <v>1</v>
      </c>
      <c r="F35" s="29">
        <v>7</v>
      </c>
      <c r="G35" s="46">
        <v>3.2210000000000001</v>
      </c>
      <c r="H35" s="30">
        <v>3.7709999999999999</v>
      </c>
      <c r="I35" s="30">
        <v>1.3420000000000001</v>
      </c>
      <c r="J35" s="30">
        <v>1.22</v>
      </c>
      <c r="K35" s="30">
        <v>1.3140000000000001</v>
      </c>
      <c r="L35" s="30">
        <v>0.71699999999999997</v>
      </c>
      <c r="M35" s="30">
        <v>1.7030000000000001</v>
      </c>
      <c r="N35" s="45">
        <v>1.6778299999999999</v>
      </c>
      <c r="O35" s="40">
        <v>0.97979000000000005</v>
      </c>
      <c r="P35" s="43">
        <f>IF(N35=0,"",IFERROR(ROUND(O35/N35*100,2),""))</f>
        <v>58.4</v>
      </c>
      <c r="Q35" s="34" t="s">
        <v>78</v>
      </c>
    </row>
    <row r="36" spans="1:17" ht="7.95" customHeight="1" x14ac:dyDescent="0.3"/>
    <row r="37" spans="1:17" x14ac:dyDescent="0.3">
      <c r="A37" s="59" t="s">
        <v>79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</sheetData>
  <mergeCells count="15">
    <mergeCell ref="A1:Q1"/>
    <mergeCell ref="A37:Q37"/>
    <mergeCell ref="P11:P12"/>
    <mergeCell ref="N11:N12"/>
    <mergeCell ref="A31:Q31"/>
    <mergeCell ref="A11:F11"/>
    <mergeCell ref="A3:Q3"/>
    <mergeCell ref="O11:O12"/>
    <mergeCell ref="A2:Q2"/>
    <mergeCell ref="G11:M11"/>
    <mergeCell ref="Q11:Q12"/>
    <mergeCell ref="A10:Q10"/>
    <mergeCell ref="A13:Q13"/>
    <mergeCell ref="A25:Q25"/>
    <mergeCell ref="A19:Q1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77f24c8-c995-44c2-9491-736bd15b1f90}" enabled="0" method="" siteId="{477f24c8-c995-44c2-9491-736bd15b1f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流動特性評価能力検証</vt:lpstr>
      <vt:lpstr>秤量能力（キャリブレーション）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Oosaka Hiroki</cp:lastModifiedBy>
  <dcterms:created xsi:type="dcterms:W3CDTF">2026-04-23T18:31:32Z</dcterms:created>
  <dcterms:modified xsi:type="dcterms:W3CDTF">2026-04-23T18:34:55Z</dcterms:modified>
</cp:coreProperties>
</file>